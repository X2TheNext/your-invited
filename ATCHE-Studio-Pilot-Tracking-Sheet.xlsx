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or Pipeline" sheetId="1" state="visible" r:id="rId3"/>
    <sheet name="Brand Deals" sheetId="2" state="visible" r:id="rId4"/>
    <sheet name="Pilo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<sst xmlns="http://schemas.openxmlformats.org/spreadsheetml/2006/main" count="66" uniqueCount="44">
  <si>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t xml:space="preserve">ATCHÉ STUDIO — Phase 1 Pilot: Creator Pipeline</t>
  </si>
  <si>
    <t xml:space="preserve">Track creators from first outreach through first paid deal. Update Status as they move through the pipeline.</t>
  </si>
  <si>
    <t xml:space="preserve">Name</t>
  </si>
  <si>
    <t xml:space="preserve">Instagram</t>
  </si>
  <si>
    <t xml:space="preserve">Track / Niche</t>
  </si>
  <si>
    <t xml:space="preserve">Outreach Sent</t>
  </si>
  <si>
    <t xml:space="preserve">Date Contacted</t>
  </si>
  <si>
    <t xml:space="preserve">Applied (Y/N)</t>
  </si>
  <si>
    <t xml:space="preserve">Date Applied</t>
  </si>
  <si>
    <t xml:space="preserve">Status</t>
  </si>
  <si>
    <t xml:space="preserve">Contract Sent</t>
  </si>
  <si>
    <t xml:space="preserve">Contract Signed</t>
  </si>
  <si>
    <t xml:space="preserve">First Brand Match</t>
  </si>
  <si>
    <t xml:space="preserve">Notes</t>
  </si>
  <si>
    <t xml:space="preserve">Not Contacted</t>
  </si>
  <si>
    <t xml:space="preserve">ATCHÉ STUDIO — Phase 1 Pilot: Brand Deals</t>
  </si>
  <si>
    <t xml:space="preserve">One row per deliverable. Reference the Brand Brief Template + Contract Template (Phase 1 Pilot Kit) for details.</t>
  </si>
  <si>
    <t xml:space="preserve">Brand</t>
  </si>
  <si>
    <t xml:space="preserve">Contact</t>
  </si>
  <si>
    <t xml:space="preserve">Creator Assigned</t>
  </si>
  <si>
    <t xml:space="preserve">Deliverable</t>
  </si>
  <si>
    <t xml:space="preserve">Brief Sent</t>
  </si>
  <si>
    <t xml:space="preserve">Brief Date</t>
  </si>
  <si>
    <t xml:space="preserve">Creator Fee ($)</t>
  </si>
  <si>
    <t xml:space="preserve">Brand Pays ATCHÉ ($)</t>
  </si>
  <si>
    <t xml:space="preserve">Studio Margin ($)</t>
  </si>
  <si>
    <t xml:space="preserve">Usage Rights</t>
  </si>
  <si>
    <t xml:space="preserve">Deadline</t>
  </si>
  <si>
    <t xml:space="preserve">Payment to Creator</t>
  </si>
  <si>
    <t xml:space="preserve">Payment Received from Brand</t>
  </si>
  <si>
    <t xml:space="preserve">Prospecting</t>
  </si>
  <si>
    <t xml:space="preserve">ATCHÉ STUDIO — Phase 1 Pilot Summary</t>
  </si>
  <si>
    <t xml:space="preserve">Auto-calculated from the Creator Pipeline and Brand Deals tabs.</t>
  </si>
  <si>
    <t xml:space="preserve">Creators contacted</t>
  </si>
  <si>
    <t xml:space="preserve">Creators applied</t>
  </si>
  <si>
    <t xml:space="preserve">Creators with signed contracts</t>
  </si>
  <si>
    <t xml:space="preserve">Creators active (assigned to a brand deal)</t>
  </si>
  <si>
    <t xml:space="preserve">Total brand deals in pipeline</t>
  </si>
  <si>
    <t xml:space="preserve">Brand deals closed</t>
  </si>
  <si>
    <t xml:space="preserve">Total creator fees committed ($)</t>
  </si>
  <si>
    <t xml:space="preserve">Total revenue from brands ($)</t>
  </si>
  <si>
    <t xml:space="preserve">Total Studio margin ($)</t>
  </si>
  <si>
    <t xml:space="preserve">Payments to creators outstanding</t>
  </si>
  <si>
    <t xml:space="preserve">Payments from brands outstanding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</si>
</sst>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954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954A"/>
        <bgColor rgb="FF808080"/>
      </patternFill>
    </fill>
    <fill>
      <patternFill patternType="solid">
        <fgColor rgb="FFF4ECDC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ECD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8954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 t="s">
        <v>14</v>
      </c>
      <c r="I5" s="4"/>
      <c r="J5" s="4"/>
      <c r="K5" s="4"/>
      <c r="L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 t="s">
        <v>14</v>
      </c>
      <c r="I6" s="4"/>
      <c r="J6" s="4"/>
      <c r="K6" s="4"/>
      <c r="L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 t="s">
        <v>14</v>
      </c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 t="s">
        <v>14</v>
      </c>
      <c r="I8" s="4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 t="s">
        <v>14</v>
      </c>
      <c r="I9" s="4"/>
      <c r="J9" s="4"/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 t="s">
        <v>14</v>
      </c>
      <c r="I10" s="4"/>
      <c r="J10" s="4"/>
      <c r="K10" s="4"/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 t="s">
        <v>14</v>
      </c>
      <c r="I11" s="4"/>
      <c r="J11" s="4"/>
      <c r="K11" s="4"/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 t="s">
        <v>14</v>
      </c>
      <c r="I12" s="4"/>
      <c r="J12" s="4"/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 t="s">
        <v>14</v>
      </c>
      <c r="I13" s="4"/>
      <c r="J13" s="4"/>
      <c r="K13" s="4"/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 t="s">
        <v>14</v>
      </c>
      <c r="I14" s="4"/>
      <c r="J14" s="4"/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 t="s">
        <v>14</v>
      </c>
      <c r="I15" s="4"/>
      <c r="J15" s="4"/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 t="s">
        <v>14</v>
      </c>
      <c r="I16" s="4"/>
      <c r="J16" s="4"/>
      <c r="K16" s="4"/>
      <c r="L16" s="4"/>
    </row>
  </sheetData>
  <dataValidations count="5">
    <dataValidation allowBlank="true" errorStyle="stop" operator="between" showDropDown="false" showErrorMessage="false" showInputMessage="false" sqref="H5:H17" type="list">
      <formula1>"Not Contacted,Outreach Sent,Applied,In Review,Approved,Contract Sent,Active,Passed"</formula1>
      <formula2>0</formula2>
    </dataValidation>
    <dataValidation allowBlank="true" errorStyle="stop" operator="between" showDropDown="false" showErrorMessage="false" showInputMessage="false" sqref="F5:F17" type="list">
      <formula1>"Y,N"</formula1>
      <formula2>0</formula2>
    </dataValidation>
    <dataValidation allowBlank="true" errorStyle="stop" operator="between" showDropDown="false" showErrorMessage="false" showInputMessage="false" sqref="D5:D17" type="list">
      <formula1>"Y,N"</formula1>
      <formula2>0</formula2>
    </dataValidation>
    <dataValidation allowBlank="true" errorStyle="stop" operator="between" showDropDown="false" showErrorMessage="false" showInputMessage="false" sqref="I5:I17" type="list">
      <formula1>"Y,N"</formula1>
      <formula2>0</formula2>
    </dataValidation>
    <dataValidation allowBlank="true" errorStyle="stop" operator="between" showDropDown="false" showErrorMessage="false" showInputMessage="false" sqref="J5:J1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6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23.8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9</v>
      </c>
      <c r="M4" s="3" t="s">
        <v>28</v>
      </c>
      <c r="N4" s="3" t="s">
        <v>29</v>
      </c>
      <c r="O4" s="3" t="s">
        <v>13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5"/>
      <c r="H5" s="5"/>
      <c r="I5" s="5" t="str">
        <f aca="false">IF(AND(G5&lt;&gt;"",H5&lt;&gt;""),H5-G5,"")</f>
        <v/>
      </c>
      <c r="J5" s="4"/>
      <c r="K5" s="4"/>
      <c r="L5" s="4" t="s">
        <v>30</v>
      </c>
      <c r="M5" s="4"/>
      <c r="N5" s="4"/>
      <c r="O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5"/>
      <c r="H6" s="5"/>
      <c r="I6" s="5" t="str">
        <f aca="false">IF(AND(G6&lt;&gt;"",H6&lt;&gt;""),H6-G6,"")</f>
        <v/>
      </c>
      <c r="J6" s="4"/>
      <c r="K6" s="4"/>
      <c r="L6" s="4" t="s">
        <v>30</v>
      </c>
      <c r="M6" s="4"/>
      <c r="N6" s="4"/>
      <c r="O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5"/>
      <c r="H7" s="5"/>
      <c r="I7" s="5" t="str">
        <f aca="false">IF(AND(G7&lt;&gt;"",H7&lt;&gt;""),H7-G7,"")</f>
        <v/>
      </c>
      <c r="J7" s="4"/>
      <c r="K7" s="4"/>
      <c r="L7" s="4" t="s">
        <v>30</v>
      </c>
      <c r="M7" s="4"/>
      <c r="N7" s="4"/>
      <c r="O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5"/>
      <c r="H8" s="5"/>
      <c r="I8" s="5" t="str">
        <f aca="false">IF(AND(G8&lt;&gt;"",H8&lt;&gt;""),H8-G8,"")</f>
        <v/>
      </c>
      <c r="J8" s="4"/>
      <c r="K8" s="4"/>
      <c r="L8" s="4" t="s">
        <v>30</v>
      </c>
      <c r="M8" s="4"/>
      <c r="N8" s="4"/>
      <c r="O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5"/>
      <c r="H9" s="5"/>
      <c r="I9" s="5" t="str">
        <f aca="false">IF(AND(G9&lt;&gt;"",H9&lt;&gt;""),H9-G9,"")</f>
        <v/>
      </c>
      <c r="J9" s="4"/>
      <c r="K9" s="4"/>
      <c r="L9" s="4" t="s">
        <v>30</v>
      </c>
      <c r="M9" s="4"/>
      <c r="N9" s="4"/>
      <c r="O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5"/>
      <c r="H10" s="5"/>
      <c r="I10" s="5" t="str">
        <f aca="false">IF(AND(G10&lt;&gt;"",H10&lt;&gt;""),H10-G10,"")</f>
        <v/>
      </c>
      <c r="J10" s="4"/>
      <c r="K10" s="4"/>
      <c r="L10" s="4" t="s">
        <v>30</v>
      </c>
      <c r="M10" s="4"/>
      <c r="N10" s="4"/>
      <c r="O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/>
      <c r="H11" s="5"/>
      <c r="I11" s="5" t="str">
        <f aca="false">IF(AND(G11&lt;&gt;"",H11&lt;&gt;""),H11-G11,"")</f>
        <v/>
      </c>
      <c r="J11" s="4"/>
      <c r="K11" s="4"/>
      <c r="L11" s="4" t="s">
        <v>30</v>
      </c>
      <c r="M11" s="4"/>
      <c r="N11" s="4"/>
      <c r="O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/>
      <c r="H12" s="5"/>
      <c r="I12" s="5" t="str">
        <f aca="false">IF(AND(G12&lt;&gt;"",H12&lt;&gt;""),H12-G12,"")</f>
        <v/>
      </c>
      <c r="J12" s="4"/>
      <c r="K12" s="4"/>
      <c r="L12" s="4" t="s">
        <v>30</v>
      </c>
      <c r="M12" s="4"/>
      <c r="N12" s="4"/>
      <c r="O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/>
      <c r="H13" s="5"/>
      <c r="I13" s="5" t="str">
        <f aca="false">IF(AND(G13&lt;&gt;"",H13&lt;&gt;""),H13-G13,"")</f>
        <v/>
      </c>
      <c r="J13" s="4"/>
      <c r="K13" s="4"/>
      <c r="L13" s="4" t="s">
        <v>30</v>
      </c>
      <c r="M13" s="4"/>
      <c r="N13" s="4"/>
      <c r="O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/>
      <c r="H14" s="5"/>
      <c r="I14" s="5" t="str">
        <f aca="false">IF(AND(G14&lt;&gt;"",H14&lt;&gt;""),H14-G14,"")</f>
        <v/>
      </c>
      <c r="J14" s="4"/>
      <c r="K14" s="4"/>
      <c r="L14" s="4" t="s">
        <v>30</v>
      </c>
      <c r="M14" s="4"/>
      <c r="N14" s="4"/>
      <c r="O14" s="4"/>
    </row>
  </sheetData>
  <dataValidations count="4">
    <dataValidation allowBlank="true" errorStyle="stop" operator="between" showDropDown="false" showErrorMessage="false" showInputMessage="false" sqref="L5:L15" type="list">
      <formula1>"Prospecting,Brief Sent,Creator Assigned,In Production,Submitted,Approved,Paid,Closed"</formula1>
      <formula2>0</formula2>
    </dataValidation>
    <dataValidation allowBlank="true" errorStyle="stop" operator="between" showDropDown="false" showErrorMessage="false" showInputMessage="false" sqref="E5:E15" type="list">
      <formula1>"Y,N"</formula1>
      <formula2>0</formula2>
    </dataValidation>
    <dataValidation allowBlank="true" errorStyle="stop" operator="between" showDropDown="false" showErrorMessage="false" showInputMessage="false" sqref="M5:M15" type="list">
      <formula1>"Pending,Paid"</formula1>
      <formula2>0</formula2>
    </dataValidation>
    <dataValidation allowBlank="true" errorStyle="stop" operator="between" showDropDown="false" showErrorMessage="false" showInputMessage="false" sqref="N5:N15" type="list">
      <formula1>"Pending,Received"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6" t="s">
        <v>33</v>
      </c>
      <c r="B4" s="7" t="n">
        <f aca="false">COUNTIF('Creator Pipeline'!D5:D17,"Y")</f>
        <v>0</v>
      </c>
    </row>
    <row r="5" customFormat="false" ht="15" hidden="false" customHeight="false" outlineLevel="0" collapsed="false">
      <c r="A5" s="6" t="s">
        <v>34</v>
      </c>
      <c r="B5" s="7" t="n">
        <f aca="false">COUNTIF('Creator Pipeline'!F5:F17,"Y")</f>
        <v>0</v>
      </c>
    </row>
    <row r="6" customFormat="false" ht="15" hidden="false" customHeight="false" outlineLevel="0" collapsed="false">
      <c r="A6" s="6" t="s">
        <v>35</v>
      </c>
      <c r="B6" s="7" t="n">
        <f aca="false">COUNTIF('Creator Pipeline'!J5:J17,"Y")</f>
        <v>0</v>
      </c>
    </row>
    <row r="7" customFormat="false" ht="26.85" hidden="false" customHeight="false" outlineLevel="0" collapsed="false">
      <c r="A7" s="6" t="s">
        <v>36</v>
      </c>
      <c r="B7" s="7" t="n">
        <f aca="false">COUNTIF('Creator Pipeline'!H5:H17,"Active")</f>
        <v>0</v>
      </c>
    </row>
    <row r="9" customFormat="false" ht="15" hidden="false" customHeight="false" outlineLevel="0" collapsed="false">
      <c r="A9" s="6" t="s">
        <v>37</v>
      </c>
      <c r="B9" s="7" t="n">
        <f aca="false">COUNTA('Brand Deals'!A5:A14)-COUNTBLANK('Brand Deals'!A5:A14)</f>
        <v>-10</v>
      </c>
    </row>
    <row r="10" customFormat="false" ht="15" hidden="false" customHeight="false" outlineLevel="0" collapsed="false">
      <c r="A10" s="6" t="s">
        <v>38</v>
      </c>
      <c r="B10" s="7" t="n">
        <f aca="false">COUNTIF('Brand Deals'!L5:L14,"Closed")</f>
        <v>0</v>
      </c>
    </row>
    <row r="11" customFormat="false" ht="15" hidden="false" customHeight="false" outlineLevel="0" collapsed="false">
      <c r="A11" s="6" t="s">
        <v>39</v>
      </c>
      <c r="B11" s="8" t="n">
        <f aca="false">SUM('Brand Deals'!G5:G14)</f>
        <v>0</v>
      </c>
    </row>
    <row r="12" customFormat="false" ht="15" hidden="false" customHeight="false" outlineLevel="0" collapsed="false">
      <c r="A12" s="6" t="s">
        <v>40</v>
      </c>
      <c r="B12" s="8" t="n">
        <f aca="false">SUM('Brand Deals'!H5:H14)</f>
        <v>0</v>
      </c>
    </row>
    <row r="13" customFormat="false" ht="15" hidden="false" customHeight="false" outlineLevel="0" collapsed="false">
      <c r="A13" s="6" t="s">
        <v>41</v>
      </c>
      <c r="B13" s="8" t="n">
        <f aca="false">SUM('Brand Deals'!I5:I14)</f>
        <v>0</v>
      </c>
    </row>
    <row r="14" customFormat="false" ht="15" hidden="false" customHeight="false" outlineLevel="0" collapsed="false">
      <c r="A14" s="6" t="s">
        <v>42</v>
      </c>
      <c r="B14" s="7" t="n">
        <f aca="false">COUNTIF('Brand Deals'!M5:M14,"Pending")</f>
        <v>0</v>
      </c>
    </row>
    <row r="15" customFormat="false" ht="15" hidden="false" customHeight="false" outlineLevel="0" collapsed="false">
      <c r="A15" s="6" t="s">
        <v>43</v>
      </c>
      <c r="B15" s="7" t="n">
        <f aca="false">COUNTIF('Brand Deals'!N5:N14,"Pending")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2026-06-11T03:23:53Z</dcterms:created>
  <dc:creator>openpyxl</dc:creator>
  <dc:description/>
  <dc:language>en-US</dc:language>
  <cp:lastModifiedBy/>
  <dcterms:modified xsi:type="dcterms:W3CDTF">2026-06-11T03:23:53Z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